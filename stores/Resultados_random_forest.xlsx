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Academia\Maestría MEcA\Big data y machine learning\Taller 2\ProblemSet2_G10\stores\"/>
    </mc:Choice>
  </mc:AlternateContent>
  <xr:revisionPtr revIDLastSave="0" documentId="13_ncr:1_{04763B50-204D-4449-8AA2-7AB7FB2CF630}" xr6:coauthVersionLast="47" xr6:coauthVersionMax="47" xr10:uidLastSave="{00000000-0000-0000-0000-000000000000}"/>
  <bookViews>
    <workbookView xWindow="-98" yWindow="-98" windowWidth="21795" windowHeight="12975" xr2:uid="{6A558E66-D680-4CA7-BD82-ADD54E8BFE60}"/>
  </bookViews>
  <sheets>
    <sheet name="random_forest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" i="1" l="1"/>
  <c r="M34" i="1"/>
  <c r="M31" i="1"/>
  <c r="M28" i="1"/>
  <c r="M25" i="1"/>
  <c r="M22" i="1"/>
  <c r="M19" i="1"/>
  <c r="M16" i="1"/>
  <c r="M13" i="1"/>
  <c r="M10" i="1"/>
  <c r="M4" i="1"/>
  <c r="M7" i="1"/>
</calcChain>
</file>

<file path=xl/sharedStrings.xml><?xml version="1.0" encoding="utf-8"?>
<sst xmlns="http://schemas.openxmlformats.org/spreadsheetml/2006/main" count="24" uniqueCount="15">
  <si>
    <t>Prueba</t>
  </si>
  <si>
    <t>num.trees</t>
  </si>
  <si>
    <t>mtry</t>
  </si>
  <si>
    <t>min.node.size</t>
  </si>
  <si>
    <t>AUC  validation</t>
  </si>
  <si>
    <t>Pobre</t>
  </si>
  <si>
    <t>No Pobre</t>
  </si>
  <si>
    <t>F1</t>
  </si>
  <si>
    <t>Matriz confusion</t>
  </si>
  <si>
    <t>Reference</t>
  </si>
  <si>
    <t>Prediction</t>
  </si>
  <si>
    <t>RF con train sin interacción hacinamiento y n_personas</t>
  </si>
  <si>
    <t>RF con train con interacción hacinamiento</t>
  </si>
  <si>
    <t>RF con train_raw sin interacción hacinamiento y n_personas</t>
  </si>
  <si>
    <t>Modelo con mejor puntaje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</si>
</sst>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2" borderId="0" xfId="0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0" xfId="0" applyFill="1"/>
    <xf numFmtId="0" fontId="1" fillId="3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7EA62-D54D-41EF-83DD-100D37B8F67B}">
  <dimension ref="A1:N38"/>
  <sheetViews>
    <sheetView tabSelected="1" topLeftCell="B1" workbookViewId="0">
      <selection activeCell="N7" sqref="N7"/>
    </sheetView>
  </sheetViews>
  <sheetFormatPr baseColWidth="10" defaultRowHeight="14.25" x14ac:dyDescent="0.45"/>
  <cols>
    <col min="1" max="1" width="44.59765625" customWidth="1"/>
    <col min="4" max="4" width="11.796875" bestFit="1" customWidth="1"/>
    <col min="5" max="5" width="12.46484375" bestFit="1" customWidth="1"/>
  </cols>
  <sheetData>
    <row r="1" spans="1:14" x14ac:dyDescent="0.45">
      <c r="A1" s="3"/>
      <c r="B1" s="3"/>
      <c r="C1" s="3"/>
      <c r="D1" s="3"/>
      <c r="E1" s="3"/>
      <c r="F1" s="3"/>
      <c r="G1" s="3"/>
      <c r="H1" s="3"/>
      <c r="I1" s="3"/>
      <c r="J1" s="4" t="s">
        <v>8</v>
      </c>
      <c r="K1" s="3"/>
    </row>
    <row r="2" spans="1:14" x14ac:dyDescent="0.4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7</v>
      </c>
      <c r="G2" s="3" t="s">
        <v>5</v>
      </c>
      <c r="H2" s="3" t="s">
        <v>6</v>
      </c>
      <c r="I2" s="3"/>
      <c r="J2" s="3"/>
      <c r="K2" s="3" t="s">
        <v>9</v>
      </c>
    </row>
    <row r="3" spans="1:14" x14ac:dyDescent="0.45">
      <c r="A3" s="5" t="s">
        <v>12</v>
      </c>
      <c r="B3" s="5">
        <v>2000</v>
      </c>
      <c r="C3" s="5">
        <v>4</v>
      </c>
      <c r="D3" s="5">
        <v>1</v>
      </c>
      <c r="E3" s="5">
        <v>0.93710000000000004</v>
      </c>
      <c r="F3" s="5"/>
      <c r="G3" s="5">
        <v>19580</v>
      </c>
      <c r="H3" s="5">
        <v>46588</v>
      </c>
      <c r="I3" s="5"/>
      <c r="J3" s="6" t="s">
        <v>10</v>
      </c>
      <c r="K3" s="6">
        <v>0</v>
      </c>
      <c r="L3" s="6">
        <v>1</v>
      </c>
      <c r="M3" s="5"/>
    </row>
    <row r="4" spans="1:14" x14ac:dyDescent="0.45">
      <c r="A4" s="5"/>
      <c r="B4" s="5"/>
      <c r="C4" s="5"/>
      <c r="D4" s="5"/>
      <c r="E4" s="5"/>
      <c r="F4" s="5"/>
      <c r="G4" s="5"/>
      <c r="H4" s="5"/>
      <c r="I4" s="5"/>
      <c r="J4" s="6">
        <v>0</v>
      </c>
      <c r="K4" s="5">
        <v>32465</v>
      </c>
      <c r="L4" s="5">
        <v>3630</v>
      </c>
      <c r="M4" s="5">
        <f>L4+K5</f>
        <v>10745</v>
      </c>
    </row>
    <row r="5" spans="1:14" x14ac:dyDescent="0.45">
      <c r="A5" s="5"/>
      <c r="B5" s="5"/>
      <c r="C5" s="5"/>
      <c r="D5" s="5"/>
      <c r="E5" s="5"/>
      <c r="F5" s="5"/>
      <c r="G5" s="5"/>
      <c r="H5" s="5"/>
      <c r="I5" s="5"/>
      <c r="J5" s="6">
        <v>1</v>
      </c>
      <c r="K5" s="5">
        <v>7115</v>
      </c>
      <c r="L5" s="5">
        <v>35950</v>
      </c>
      <c r="M5" s="5"/>
    </row>
    <row r="6" spans="1:14" x14ac:dyDescent="0.45">
      <c r="J6" s="1"/>
    </row>
    <row r="7" spans="1:14" x14ac:dyDescent="0.45">
      <c r="A7" s="8" t="s">
        <v>11</v>
      </c>
      <c r="B7" s="9">
        <v>500</v>
      </c>
      <c r="C7" s="9">
        <v>4</v>
      </c>
      <c r="D7" s="9">
        <v>1</v>
      </c>
      <c r="E7" s="9">
        <v>0.93801999999999996</v>
      </c>
      <c r="F7" s="9">
        <v>0.871</v>
      </c>
      <c r="G7" s="9">
        <v>19421</v>
      </c>
      <c r="H7" s="9">
        <v>46747</v>
      </c>
      <c r="I7" s="9"/>
      <c r="J7" s="10">
        <v>0</v>
      </c>
      <c r="K7" s="9">
        <v>32539</v>
      </c>
      <c r="L7" s="9">
        <v>3612</v>
      </c>
      <c r="M7" s="9">
        <f>L7+K8</f>
        <v>10653</v>
      </c>
      <c r="N7" t="s">
        <v>14</v>
      </c>
    </row>
    <row r="8" spans="1:14" x14ac:dyDescent="0.45">
      <c r="A8" s="9"/>
      <c r="B8" s="9"/>
      <c r="C8" s="9"/>
      <c r="D8" s="9"/>
      <c r="E8" s="9"/>
      <c r="F8" s="9"/>
      <c r="G8" s="9"/>
      <c r="H8" s="9"/>
      <c r="I8" s="9"/>
      <c r="J8" s="10">
        <v>1</v>
      </c>
      <c r="K8" s="9">
        <v>7041</v>
      </c>
      <c r="L8" s="9">
        <v>35968</v>
      </c>
      <c r="M8" s="9"/>
    </row>
    <row r="10" spans="1:14" x14ac:dyDescent="0.45">
      <c r="A10" s="7" t="s">
        <v>11</v>
      </c>
      <c r="B10" s="5">
        <v>1000</v>
      </c>
      <c r="C10" s="5">
        <v>4</v>
      </c>
      <c r="D10" s="5">
        <v>1</v>
      </c>
      <c r="E10" s="5">
        <v>0.93818000000000001</v>
      </c>
      <c r="F10" s="5">
        <v>0.87139999999999995</v>
      </c>
      <c r="G10" s="5">
        <v>19414</v>
      </c>
      <c r="H10" s="5">
        <v>46754</v>
      </c>
      <c r="I10" s="5"/>
      <c r="J10" s="6">
        <v>0</v>
      </c>
      <c r="K10" s="5">
        <v>32549</v>
      </c>
      <c r="L10" s="5">
        <v>3594</v>
      </c>
      <c r="M10" s="5">
        <f>L10+K11</f>
        <v>10625</v>
      </c>
    </row>
    <row r="11" spans="1:14" x14ac:dyDescent="0.45">
      <c r="A11" s="5"/>
      <c r="B11" s="5"/>
      <c r="C11" s="5"/>
      <c r="D11" s="5"/>
      <c r="E11" s="5"/>
      <c r="F11" s="5"/>
      <c r="G11" s="5"/>
      <c r="H11" s="5"/>
      <c r="I11" s="5"/>
      <c r="J11" s="6">
        <v>1</v>
      </c>
      <c r="K11" s="5">
        <v>7031</v>
      </c>
      <c r="L11" s="5">
        <v>35986</v>
      </c>
      <c r="M11" s="5"/>
    </row>
    <row r="13" spans="1:14" x14ac:dyDescent="0.45">
      <c r="A13" s="7" t="s">
        <v>11</v>
      </c>
      <c r="B13" s="5">
        <v>1000</v>
      </c>
      <c r="C13" s="5">
        <v>4</v>
      </c>
      <c r="D13" s="5">
        <v>3</v>
      </c>
      <c r="E13" s="5">
        <v>0.93613000000000002</v>
      </c>
      <c r="F13" s="5">
        <v>0.86909999999999998</v>
      </c>
      <c r="G13" s="5">
        <v>19421</v>
      </c>
      <c r="H13" s="5">
        <v>46747</v>
      </c>
      <c r="I13" s="5"/>
      <c r="J13" s="6">
        <v>0</v>
      </c>
      <c r="K13" s="5">
        <v>32554</v>
      </c>
      <c r="L13" s="5">
        <v>3766</v>
      </c>
      <c r="M13" s="5">
        <f>L13+K14</f>
        <v>10792</v>
      </c>
    </row>
    <row r="14" spans="1:14" x14ac:dyDescent="0.45">
      <c r="A14" s="5"/>
      <c r="B14" s="5"/>
      <c r="C14" s="5"/>
      <c r="D14" s="5"/>
      <c r="E14" s="5"/>
      <c r="F14" s="5"/>
      <c r="G14" s="5"/>
      <c r="H14" s="5"/>
      <c r="I14" s="5"/>
      <c r="J14" s="6">
        <v>1</v>
      </c>
      <c r="K14" s="5">
        <v>7026</v>
      </c>
      <c r="L14" s="5">
        <v>35814</v>
      </c>
      <c r="M14" s="5"/>
    </row>
    <row r="16" spans="1:14" x14ac:dyDescent="0.45">
      <c r="A16" s="7" t="s">
        <v>11</v>
      </c>
      <c r="B16" s="5">
        <v>1000</v>
      </c>
      <c r="C16" s="5">
        <v>6</v>
      </c>
      <c r="D16" s="5">
        <v>1</v>
      </c>
      <c r="E16" s="5">
        <v>0.94569999999999999</v>
      </c>
      <c r="F16" s="5">
        <v>0.8841</v>
      </c>
      <c r="G16" s="5">
        <v>18406</v>
      </c>
      <c r="H16" s="5">
        <v>47762</v>
      </c>
      <c r="I16" s="5"/>
      <c r="J16" s="6">
        <v>0</v>
      </c>
      <c r="K16" s="5">
        <v>32763</v>
      </c>
      <c r="L16" s="5">
        <v>2821</v>
      </c>
      <c r="M16" s="5">
        <f>L16+K17</f>
        <v>9638</v>
      </c>
    </row>
    <row r="17" spans="1:13" x14ac:dyDescent="0.45">
      <c r="A17" s="5"/>
      <c r="B17" s="5"/>
      <c r="C17" s="5"/>
      <c r="D17" s="5"/>
      <c r="E17" s="5"/>
      <c r="F17" s="5"/>
      <c r="G17" s="5"/>
      <c r="H17" s="5"/>
      <c r="I17" s="5"/>
      <c r="J17" s="6">
        <v>1</v>
      </c>
      <c r="K17" s="5">
        <v>6817</v>
      </c>
      <c r="L17" s="5">
        <v>36759</v>
      </c>
      <c r="M17" s="5"/>
    </row>
    <row r="19" spans="1:13" x14ac:dyDescent="0.45">
      <c r="A19" s="7" t="s">
        <v>11</v>
      </c>
      <c r="B19" s="5">
        <v>1000</v>
      </c>
      <c r="C19" s="5">
        <v>8</v>
      </c>
      <c r="D19" s="5">
        <v>1</v>
      </c>
      <c r="E19" s="5">
        <v>0.9456</v>
      </c>
      <c r="F19" s="5">
        <v>0.88519999999999999</v>
      </c>
      <c r="G19" s="5">
        <v>18314</v>
      </c>
      <c r="H19" s="5">
        <v>47854</v>
      </c>
      <c r="I19" s="5"/>
      <c r="J19" s="6">
        <v>0</v>
      </c>
      <c r="K19" s="5">
        <v>32673</v>
      </c>
      <c r="L19" s="5">
        <v>2668</v>
      </c>
      <c r="M19" s="5">
        <f>L19+K20</f>
        <v>9575</v>
      </c>
    </row>
    <row r="20" spans="1:13" x14ac:dyDescent="0.45">
      <c r="A20" s="5"/>
      <c r="B20" s="5"/>
      <c r="C20" s="5"/>
      <c r="D20" s="5"/>
      <c r="E20" s="5"/>
      <c r="F20" s="5"/>
      <c r="G20" s="5"/>
      <c r="H20" s="5"/>
      <c r="I20" s="5"/>
      <c r="J20" s="6">
        <v>1</v>
      </c>
      <c r="K20" s="5">
        <v>6907</v>
      </c>
      <c r="L20" s="5">
        <v>36912</v>
      </c>
      <c r="M20" s="5"/>
    </row>
    <row r="22" spans="1:13" x14ac:dyDescent="0.45">
      <c r="A22" s="2" t="s">
        <v>11</v>
      </c>
      <c r="B22">
        <v>1000</v>
      </c>
      <c r="C22">
        <v>10</v>
      </c>
      <c r="D22">
        <v>1</v>
      </c>
      <c r="E22">
        <v>0.94404999999999994</v>
      </c>
      <c r="F22">
        <v>0.88460000000000005</v>
      </c>
      <c r="G22">
        <v>18368</v>
      </c>
      <c r="H22">
        <v>47800</v>
      </c>
      <c r="J22" s="1">
        <v>0</v>
      </c>
      <c r="K22">
        <v>32611</v>
      </c>
      <c r="L22">
        <v>2661</v>
      </c>
      <c r="M22">
        <f>L22+K23</f>
        <v>9630</v>
      </c>
    </row>
    <row r="23" spans="1:13" x14ac:dyDescent="0.45">
      <c r="J23" s="1">
        <v>1</v>
      </c>
      <c r="K23">
        <v>6969</v>
      </c>
      <c r="L23">
        <v>36919</v>
      </c>
    </row>
    <row r="25" spans="1:13" x14ac:dyDescent="0.45">
      <c r="A25" s="7" t="s">
        <v>11</v>
      </c>
      <c r="B25" s="5">
        <v>2000</v>
      </c>
      <c r="C25" s="5">
        <v>7</v>
      </c>
      <c r="D25" s="5">
        <v>1</v>
      </c>
      <c r="E25" s="5">
        <v>0.94598000000000004</v>
      </c>
      <c r="F25" s="5">
        <v>0.8851</v>
      </c>
      <c r="G25" s="5">
        <v>18368</v>
      </c>
      <c r="H25" s="5">
        <v>47800</v>
      </c>
      <c r="I25" s="5"/>
      <c r="J25" s="6">
        <v>0</v>
      </c>
      <c r="K25" s="5">
        <v>32698</v>
      </c>
      <c r="L25" s="5">
        <v>2697</v>
      </c>
      <c r="M25" s="5">
        <f>L25+K26</f>
        <v>9579</v>
      </c>
    </row>
    <row r="26" spans="1:13" x14ac:dyDescent="0.45">
      <c r="A26" s="5"/>
      <c r="B26" s="5"/>
      <c r="C26" s="5"/>
      <c r="D26" s="5"/>
      <c r="E26" s="5"/>
      <c r="F26" s="5"/>
      <c r="G26" s="5"/>
      <c r="H26" s="5"/>
      <c r="I26" s="5"/>
      <c r="J26" s="6">
        <v>1</v>
      </c>
      <c r="K26" s="5">
        <v>6882</v>
      </c>
      <c r="L26" s="5">
        <v>36883</v>
      </c>
      <c r="M26" s="5"/>
    </row>
    <row r="28" spans="1:13" x14ac:dyDescent="0.45">
      <c r="A28" s="2" t="s">
        <v>11</v>
      </c>
      <c r="B28">
        <v>2000</v>
      </c>
      <c r="C28">
        <v>8</v>
      </c>
      <c r="D28">
        <v>1</v>
      </c>
      <c r="E28">
        <v>0.94562999999999997</v>
      </c>
      <c r="F28">
        <v>0.88490000000000002</v>
      </c>
      <c r="G28">
        <v>18310</v>
      </c>
      <c r="H28">
        <v>47858</v>
      </c>
      <c r="J28" s="1">
        <v>0</v>
      </c>
      <c r="K28">
        <v>32679</v>
      </c>
      <c r="L28">
        <v>2693</v>
      </c>
      <c r="M28">
        <f>L28+K29</f>
        <v>9594</v>
      </c>
    </row>
    <row r="29" spans="1:13" x14ac:dyDescent="0.45">
      <c r="J29" s="1">
        <v>1</v>
      </c>
      <c r="K29">
        <v>6901</v>
      </c>
      <c r="L29">
        <v>36887</v>
      </c>
    </row>
    <row r="31" spans="1:13" x14ac:dyDescent="0.45">
      <c r="A31" s="2" t="s">
        <v>13</v>
      </c>
      <c r="B31">
        <v>2000</v>
      </c>
      <c r="C31">
        <v>8</v>
      </c>
      <c r="D31">
        <v>1</v>
      </c>
      <c r="E31">
        <v>0.98307999999999995</v>
      </c>
      <c r="F31">
        <v>0.94830000000000003</v>
      </c>
      <c r="G31">
        <v>16955</v>
      </c>
      <c r="H31">
        <v>49213</v>
      </c>
      <c r="J31" s="1">
        <v>0</v>
      </c>
      <c r="K31">
        <v>36702</v>
      </c>
      <c r="L31">
        <v>1295</v>
      </c>
      <c r="M31">
        <f>L31+K32</f>
        <v>4173</v>
      </c>
    </row>
    <row r="32" spans="1:13" x14ac:dyDescent="0.45">
      <c r="J32" s="1">
        <v>1</v>
      </c>
      <c r="K32">
        <v>2878</v>
      </c>
      <c r="L32">
        <v>38285</v>
      </c>
    </row>
    <row r="34" spans="1:13" x14ac:dyDescent="0.45">
      <c r="A34" s="2" t="s">
        <v>13</v>
      </c>
      <c r="B34">
        <v>1000</v>
      </c>
      <c r="C34">
        <v>8</v>
      </c>
      <c r="D34">
        <v>1</v>
      </c>
      <c r="E34">
        <v>0.84723000000000004</v>
      </c>
      <c r="F34">
        <v>0.54910000000000003</v>
      </c>
      <c r="G34">
        <v>11638</v>
      </c>
      <c r="H34">
        <v>54530</v>
      </c>
      <c r="J34" s="1">
        <v>0</v>
      </c>
      <c r="K34">
        <v>36166</v>
      </c>
      <c r="L34">
        <v>4865</v>
      </c>
      <c r="M34">
        <f>L34+K35</f>
        <v>8279</v>
      </c>
    </row>
    <row r="35" spans="1:13" x14ac:dyDescent="0.45">
      <c r="J35" s="1">
        <v>1</v>
      </c>
      <c r="K35">
        <v>3414</v>
      </c>
      <c r="L35">
        <v>5042</v>
      </c>
    </row>
    <row r="37" spans="1:13" x14ac:dyDescent="0.45">
      <c r="A37" s="2" t="s">
        <v>13</v>
      </c>
      <c r="E37">
        <v>0.97436</v>
      </c>
      <c r="F37">
        <v>0.87370000000000003</v>
      </c>
      <c r="G37">
        <v>11474</v>
      </c>
      <c r="H37">
        <v>54694</v>
      </c>
      <c r="K37">
        <v>38986</v>
      </c>
      <c r="L37">
        <v>1761</v>
      </c>
      <c r="M37">
        <f>L37+K38</f>
        <v>2355</v>
      </c>
    </row>
    <row r="38" spans="1:13" x14ac:dyDescent="0.45">
      <c r="K38">
        <v>594</v>
      </c>
      <c r="L38">
        <v>8146</v>
      </c>
    </row>
  </sheetData>
  <conditionalFormatting sqref="E3:E28">
    <cfRule type="top10" dxfId="2" priority="2" rank="1"/>
  </conditionalFormatting>
  <conditionalFormatting sqref="F3:F28">
    <cfRule type="top10" dxfId="1" priority="1" rank="1"/>
  </conditionalFormatting>
  <conditionalFormatting sqref="M4:M80">
    <cfRule type="top10" dxfId="0" priority="5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99052-3C6C-4AAA-AE22-53B474D1D399}">
  <dimension ref="A1"/>
  <sheetViews>
    <sheetView workbookViewId="0"/>
  </sheetViews>
  <sheetFormatPr baseColWidth="10"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random_forest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Alexander Ramirez Arias</dc:creator>
  <cp:lastModifiedBy>Camilo Alexander Ramirez Arias</cp:lastModifiedBy>
  <dcterms:created xsi:type="dcterms:W3CDTF">2025-04-06T19:06:07Z</dcterms:created>
  <dcterms:modified xsi:type="dcterms:W3CDTF">2025-04-08T15:50:57Z</dcterms:modified>
</cp:coreProperties>
</file>